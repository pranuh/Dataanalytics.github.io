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stomers (Raw)" sheetId="1" state="visible" r:id="rId3"/>
    <sheet name="Customers (Clean)" sheetId="2" state="visible" r:id="rId4"/>
    <sheet name="Products" sheetId="3" state="visible" r:id="rId5"/>
    <sheet name="Orders" sheetId="4" state="visible" r:id="rId6"/>
  </sheets>
  <calcPr fullCalcOnLoad="1"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Work through this data in Data Cleaning: check spacing, capitalization,
the combined City/State column, phone formats, and repeated entries.
Copy this sheet to 'Customers (Clean)' before you start — never clean on top of raw data.</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Tan row 2 = worked example. Study the formula in each cell, then complete
the green cells below the same way for every row.
When every row looks right, paste the block as VALUES, then run
Data &gt; Remove Duplicates on columns B-E.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This is master reference data — leave it as-is. Orders should look values up
from here, never retype them.</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Tan row 2 = worked example using all three lookup methods.
Complete the green cells below the same way for every row.
One or more Product IDs may not exist in the Products sheet — notice how
VLOOKUP, XLOOKUP, and INDEX-MATCH each respond when that happens.</t>
        </r>
      </text>
    </comment>
  </commentList>
</comments>
</file>

<file path=xl/sharedStrings.xml><?xml version="1.0" encoding="utf-8"?>
<sst xmlns="http://schemas.openxmlformats.org/spreadsheetml/2006/main" count="190" uniqueCount="136">
  <si>
    <t xml:space="preserve">Name</t>
  </si>
  <si>
    <t xml:space="preserve">Email</t>
  </si>
  <si>
    <t xml:space="preserve">City, State</t>
  </si>
  <si>
    <t xml:space="preserve">Phone</t>
  </si>
  <si>
    <t xml:space="preserve">  priya sharma</t>
  </si>
  <si>
    <t xml:space="preserve">priya.sharma@mail.com</t>
  </si>
  <si>
    <t xml:space="preserve">Hyderabad, Telangana</t>
  </si>
  <si>
    <t xml:space="preserve">9876543210</t>
  </si>
  <si>
    <t xml:space="preserve">RAVI KUMAR</t>
  </si>
  <si>
    <t xml:space="preserve">ravi.kumar@mail.com </t>
  </si>
  <si>
    <t xml:space="preserve">Warangal,Telangana</t>
  </si>
  <si>
    <t xml:space="preserve">98-765-43211</t>
  </si>
  <si>
    <t xml:space="preserve">Sana Iyer</t>
  </si>
  <si>
    <t xml:space="preserve">sana.iyer@mail.com</t>
  </si>
  <si>
    <t xml:space="preserve"> Bengaluru, Karnataka</t>
  </si>
  <si>
    <t xml:space="preserve">9876543212</t>
  </si>
  <si>
    <t xml:space="preserve">arjun  reddy</t>
  </si>
  <si>
    <t xml:space="preserve">arjun.reddy@mail.com</t>
  </si>
  <si>
    <t xml:space="preserve">9876 543 213</t>
  </si>
  <si>
    <t xml:space="preserve">Meera Nair</t>
  </si>
  <si>
    <t xml:space="preserve">meera.nair@mail.com</t>
  </si>
  <si>
    <t xml:space="preserve">Chennai, Tamil Nadu</t>
  </si>
  <si>
    <t xml:space="preserve">9876543214</t>
  </si>
  <si>
    <t xml:space="preserve">priya sharma</t>
  </si>
  <si>
    <t xml:space="preserve">Vikram Rao</t>
  </si>
  <si>
    <t xml:space="preserve">vikram.rao@mail.com</t>
  </si>
  <si>
    <t xml:space="preserve">Pune, Maharashtra</t>
  </si>
  <si>
    <t xml:space="preserve">9876543215</t>
  </si>
  <si>
    <t xml:space="preserve">  Divya Menon</t>
  </si>
  <si>
    <t xml:space="preserve">divya.menon@mail.com</t>
  </si>
  <si>
    <t xml:space="preserve">Kochi, Kerala</t>
  </si>
  <si>
    <t xml:space="preserve">98765-43216</t>
  </si>
  <si>
    <t xml:space="preserve">KARTHIK  S</t>
  </si>
  <si>
    <t xml:space="preserve">karthik.s@mail.com</t>
  </si>
  <si>
    <t xml:space="preserve">Warangal, Telangana</t>
  </si>
  <si>
    <t xml:space="preserve">9876543217</t>
  </si>
  <si>
    <t xml:space="preserve">Ananya Das</t>
  </si>
  <si>
    <t xml:space="preserve">ananya.das@mail.com</t>
  </si>
  <si>
    <t xml:space="preserve">Kolkata, West Bengal</t>
  </si>
  <si>
    <t xml:space="preserve">9876543218</t>
  </si>
  <si>
    <t xml:space="preserve">ravi kumar</t>
  </si>
  <si>
    <t xml:space="preserve">ravi.kumar@mail.com</t>
  </si>
  <si>
    <t xml:space="preserve">9876543211</t>
  </si>
  <si>
    <t xml:space="preserve">Farhan Ali</t>
  </si>
  <si>
    <t xml:space="preserve">farhan.ali@mail.com</t>
  </si>
  <si>
    <t xml:space="preserve">Hyderabad,Telangana</t>
  </si>
  <si>
    <t xml:space="preserve">9876 543219</t>
  </si>
  <si>
    <t xml:space="preserve">Neha Gupta</t>
  </si>
  <si>
    <t xml:space="preserve">  neha.gupta@mail.com</t>
  </si>
  <si>
    <t xml:space="preserve">Delhi, Delhi</t>
  </si>
  <si>
    <t xml:space="preserve">9876543220</t>
  </si>
  <si>
    <t xml:space="preserve">Suresh Babu</t>
  </si>
  <si>
    <t xml:space="preserve">suresh.babu@mail.com</t>
  </si>
  <si>
    <t xml:space="preserve">Vijayawada, Andhra Pradesh</t>
  </si>
  <si>
    <t xml:space="preserve">9876543221</t>
  </si>
  <si>
    <t xml:space="preserve">Lakshmi Iyer</t>
  </si>
  <si>
    <t xml:space="preserve">lakshmi.iyer@mail.com</t>
  </si>
  <si>
    <t xml:space="preserve">Hyderabad, Telangana </t>
  </si>
  <si>
    <t xml:space="preserve">9876543222</t>
  </si>
  <si>
    <t xml:space="preserve">Name (Raw)</t>
  </si>
  <si>
    <t xml:space="preserve">Clean Name</t>
  </si>
  <si>
    <t xml:space="preserve">City</t>
  </si>
  <si>
    <t xml:space="preserve">State</t>
  </si>
  <si>
    <t xml:space="preserve">Clean Phone</t>
  </si>
  <si>
    <t xml:space="preserve">Product ID</t>
  </si>
  <si>
    <t xml:space="preserve">Product Name</t>
  </si>
  <si>
    <t xml:space="preserve">Category</t>
  </si>
  <si>
    <t xml:space="preserve">Unit Price</t>
  </si>
  <si>
    <t xml:space="preserve">P001</t>
  </si>
  <si>
    <t xml:space="preserve">Notebook A5</t>
  </si>
  <si>
    <t xml:space="preserve">Stationery</t>
  </si>
  <si>
    <t xml:space="preserve">P002</t>
  </si>
  <si>
    <t xml:space="preserve">Notebook A4</t>
  </si>
  <si>
    <t xml:space="preserve">P003</t>
  </si>
  <si>
    <t xml:space="preserve">Gel Pen Set</t>
  </si>
  <si>
    <t xml:space="preserve">P004</t>
  </si>
  <si>
    <t xml:space="preserve">Ballpoint Pen Pack</t>
  </si>
  <si>
    <t xml:space="preserve">P005</t>
  </si>
  <si>
    <t xml:space="preserve">Backpack 20L</t>
  </si>
  <si>
    <t xml:space="preserve">Bags</t>
  </si>
  <si>
    <t xml:space="preserve">P006</t>
  </si>
  <si>
    <t xml:space="preserve">Backpack 30L</t>
  </si>
  <si>
    <t xml:space="preserve">P007</t>
  </si>
  <si>
    <t xml:space="preserve">Laptop Sleeve</t>
  </si>
  <si>
    <t xml:space="preserve">P008</t>
  </si>
  <si>
    <t xml:space="preserve">Water Bottle 1L</t>
  </si>
  <si>
    <t xml:space="preserve">Accessories</t>
  </si>
  <si>
    <t xml:space="preserve">P009</t>
  </si>
  <si>
    <t xml:space="preserve">Water Bottle 750ml</t>
  </si>
  <si>
    <t xml:space="preserve">P010</t>
  </si>
  <si>
    <t xml:space="preserve">Desk Lamp</t>
  </si>
  <si>
    <t xml:space="preserve">Electronics</t>
  </si>
  <si>
    <t xml:space="preserve">P011</t>
  </si>
  <si>
    <t xml:space="preserve">USB Hub</t>
  </si>
  <si>
    <t xml:space="preserve">P012</t>
  </si>
  <si>
    <t xml:space="preserve">Wireless Mouse</t>
  </si>
  <si>
    <t xml:space="preserve">P013</t>
  </si>
  <si>
    <t xml:space="preserve">Highlighter Set</t>
  </si>
  <si>
    <t xml:space="preserve">P014</t>
  </si>
  <si>
    <t xml:space="preserve">Sticky Notes Pack</t>
  </si>
  <si>
    <t xml:space="preserve">P015</t>
  </si>
  <si>
    <t xml:space="preserve">Lunch Box</t>
  </si>
  <si>
    <t xml:space="preserve">P016</t>
  </si>
  <si>
    <t xml:space="preserve">Umbrella</t>
  </si>
  <si>
    <t xml:space="preserve">P017</t>
  </si>
  <si>
    <t xml:space="preserve">Desk Organizer</t>
  </si>
  <si>
    <t xml:space="preserve">P018</t>
  </si>
  <si>
    <t xml:space="preserve">Calculator</t>
  </si>
  <si>
    <t xml:space="preserve">Order ID</t>
  </si>
  <si>
    <t xml:space="preserve">Quantity</t>
  </si>
  <si>
    <t xml:space="preserve">Product Name (VLOOKUP)</t>
  </si>
  <si>
    <t xml:space="preserve">Unit Price (XLOOKUP)</t>
  </si>
  <si>
    <t xml:space="preserve">Category (INDEX-MATCH)</t>
  </si>
  <si>
    <t xml:space="preserve">Line Total</t>
  </si>
  <si>
    <t xml:space="preserve">O1001</t>
  </si>
  <si>
    <t xml:space="preserve">O1002</t>
  </si>
  <si>
    <t xml:space="preserve">O1003</t>
  </si>
  <si>
    <t xml:space="preserve">O1004</t>
  </si>
  <si>
    <t xml:space="preserve">O1005</t>
  </si>
  <si>
    <t xml:space="preserve">P099</t>
  </si>
  <si>
    <t xml:space="preserve">O1006</t>
  </si>
  <si>
    <t xml:space="preserve">O1007</t>
  </si>
  <si>
    <t xml:space="preserve">O1008</t>
  </si>
  <si>
    <t xml:space="preserve">O1009</t>
  </si>
  <si>
    <t xml:space="preserve">O1010</t>
  </si>
  <si>
    <t xml:space="preserve">O1011</t>
  </si>
  <si>
    <t xml:space="preserve">O1012</t>
  </si>
  <si>
    <t xml:space="preserve">O1013</t>
  </si>
  <si>
    <t xml:space="preserve">O1014</t>
  </si>
  <si>
    <t xml:space="preserve">O1015</t>
  </si>
  <si>
    <t xml:space="preserve">O1016</t>
  </si>
  <si>
    <t xml:space="preserve">O1017</t>
  </si>
  <si>
    <t xml:space="preserve">O1018</t>
  </si>
  <si>
    <t xml:space="preserve">O1019</t>
  </si>
  <si>
    <t xml:space="preserve">O1020</t>
  </si>
  <si>
    <t xml:space="preserve">Grand Total</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</si>
</sst>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0"/>
      <name val="Arial"/>
      <family val="2"/>
    </font>
    <font>
      <b val="true"/>
      <sz val="11"/>
      <name val="Arial"/>
      <family val="0"/>
      <charset val="1"/>
    </font>
  </fonts>
  <fills count="5">
    <fill>
      <patternFill patternType="none"/>
    </fill>
    <fill>
      <patternFill patternType="gray125"/>
    </fill>
    <fill>
      <patternFill patternType="solid">
        <fgColor rgb="FF2D5F4C"/>
        <bgColor rgb="FF008080"/>
      </patternFill>
    </fill>
    <fill>
      <patternFill patternType="solid">
        <fgColor rgb="FFFFF3D6"/>
        <bgColor rgb="FFEAF0EA"/>
      </patternFill>
    </fill>
    <fill>
      <patternFill patternType="solid">
        <fgColor rgb="FFEAF0EA"/>
        <bgColor rgb="FFFFF3D6"/>
      </patternFill>
    </fill>
  </fills>
  <borders count="2">
    <border diagonalUp="false" diagonalDown="false">
      <left/>
      <right/>
      <top/>
      <bottom/>
      <diagonal/>
    </border>
    <border diagonalUp="false" diagonalDown="false">
      <left style="thin">
        <color rgb="FFB9C2B4"/>
      </left>
      <right style="thin">
        <color rgb="FFB9C2B4"/>
      </right>
      <top style="thin">
        <color rgb="FFB9C2B4"/>
      </top>
      <bottom style="thin">
        <color rgb="FFB9C2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C2B4"/>
      <rgbColor rgb="FF808080"/>
      <rgbColor rgb="FF9999FF"/>
      <rgbColor rgb="FF993366"/>
      <rgbColor rgb="FFFFF3D6"/>
      <rgbColor rgb="FFEAF0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D5F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6"/>
    <col collapsed="false" customWidth="true" hidden="false" outlineLevel="0" max="4" min="4" style="0" width="16"/>
  </cols>
  <sheetData>
    <row r="1" customFormat="false" ht="15" hidden="false" customHeight="false" outlineLevel="0" collapsed="false">
      <c r="A1" s="1" t="s">
        <v>0</v>
      </c>
      <c r="B1" s="1" t="s">
        <v>1</v>
      </c>
      <c r="C1" s="1" t="s">
        <v>2</v>
      </c>
      <c r="D1" s="1" t="s">
        <v>3</v>
      </c>
    </row>
    <row r="2" customFormat="false" ht="15" hidden="false" customHeight="false" outlineLevel="0" collapsed="false">
      <c r="A2" s="2" t="s">
        <v>4</v>
      </c>
      <c r="B2" s="2" t="s">
        <v>5</v>
      </c>
      <c r="C2" s="2" t="s">
        <v>6</v>
      </c>
      <c r="D2" s="2" t="s">
        <v>7</v>
      </c>
    </row>
    <row r="3" customFormat="false" ht="15" hidden="false" customHeight="false" outlineLevel="0" collapsed="false">
      <c r="A3" s="2" t="s">
        <v>8</v>
      </c>
      <c r="B3" s="2" t="s">
        <v>9</v>
      </c>
      <c r="C3" s="2" t="s">
        <v>10</v>
      </c>
      <c r="D3" s="2" t="s">
        <v>11</v>
      </c>
    </row>
    <row r="4" customFormat="false" ht="15" hidden="false" customHeight="false" outlineLevel="0" collapsed="false">
      <c r="A4" s="2" t="s">
        <v>12</v>
      </c>
      <c r="B4" s="2" t="s">
        <v>13</v>
      </c>
      <c r="C4" s="2" t="s">
        <v>14</v>
      </c>
      <c r="D4" s="2" t="s">
        <v>15</v>
      </c>
    </row>
    <row r="5" customFormat="false" ht="15" hidden="false" customHeight="false" outlineLevel="0" collapsed="false">
      <c r="A5" s="2" t="s">
        <v>16</v>
      </c>
      <c r="B5" s="2" t="s">
        <v>17</v>
      </c>
      <c r="C5" s="2" t="s">
        <v>6</v>
      </c>
      <c r="D5" s="2" t="s">
        <v>18</v>
      </c>
    </row>
    <row r="6" customFormat="false" ht="15" hidden="false" customHeight="false" outlineLevel="0" collapsed="false">
      <c r="A6" s="2" t="s">
        <v>19</v>
      </c>
      <c r="B6" s="2" t="s">
        <v>20</v>
      </c>
      <c r="C6" s="2" t="s">
        <v>21</v>
      </c>
      <c r="D6" s="2" t="s">
        <v>22</v>
      </c>
    </row>
    <row r="7" customFormat="false" ht="15" hidden="false" customHeight="false" outlineLevel="0" collapsed="false">
      <c r="A7" s="2" t="s">
        <v>23</v>
      </c>
      <c r="B7" s="2" t="s">
        <v>5</v>
      </c>
      <c r="C7" s="2" t="s">
        <v>6</v>
      </c>
      <c r="D7" s="2" t="s">
        <v>7</v>
      </c>
    </row>
    <row r="8" customFormat="false" ht="15" hidden="false" customHeight="false" outlineLevel="0" collapsed="false">
      <c r="A8" s="2" t="s">
        <v>24</v>
      </c>
      <c r="B8" s="2" t="s">
        <v>25</v>
      </c>
      <c r="C8" s="2" t="s">
        <v>26</v>
      </c>
      <c r="D8" s="2" t="s">
        <v>27</v>
      </c>
    </row>
    <row r="9" customFormat="false" ht="15" hidden="false" customHeight="false" outlineLevel="0" collapsed="false">
      <c r="A9" s="2" t="s">
        <v>28</v>
      </c>
      <c r="B9" s="2" t="s">
        <v>29</v>
      </c>
      <c r="C9" s="2" t="s">
        <v>30</v>
      </c>
      <c r="D9" s="2" t="s">
        <v>31</v>
      </c>
    </row>
    <row r="10" customFormat="false" ht="15" hidden="false" customHeight="false" outlineLevel="0" collapsed="false">
      <c r="A10" s="2" t="s">
        <v>32</v>
      </c>
      <c r="B10" s="2" t="s">
        <v>33</v>
      </c>
      <c r="C10" s="2" t="s">
        <v>34</v>
      </c>
      <c r="D10" s="2" t="s">
        <v>35</v>
      </c>
    </row>
    <row r="11" customFormat="false" ht="15" hidden="false" customHeight="false" outlineLevel="0" collapsed="false">
      <c r="A11" s="2" t="s">
        <v>36</v>
      </c>
      <c r="B11" s="2" t="s">
        <v>37</v>
      </c>
      <c r="C11" s="2" t="s">
        <v>38</v>
      </c>
      <c r="D11" s="2" t="s">
        <v>39</v>
      </c>
    </row>
    <row r="12" customFormat="false" ht="15" hidden="false" customHeight="false" outlineLevel="0" collapsed="false">
      <c r="A12" s="2" t="s">
        <v>40</v>
      </c>
      <c r="B12" s="2" t="s">
        <v>41</v>
      </c>
      <c r="C12" s="2" t="s">
        <v>34</v>
      </c>
      <c r="D12" s="2" t="s">
        <v>42</v>
      </c>
    </row>
    <row r="13" customFormat="false" ht="15" hidden="false" customHeight="false" outlineLevel="0" collapsed="false">
      <c r="A13" s="2" t="s">
        <v>43</v>
      </c>
      <c r="B13" s="2" t="s">
        <v>44</v>
      </c>
      <c r="C13" s="2" t="s">
        <v>45</v>
      </c>
      <c r="D13" s="2" t="s">
        <v>46</v>
      </c>
    </row>
    <row r="14" customFormat="false" ht="15" hidden="false" customHeight="false" outlineLevel="0" collapsed="false">
      <c r="A14" s="2" t="s">
        <v>47</v>
      </c>
      <c r="B14" s="2" t="s">
        <v>48</v>
      </c>
      <c r="C14" s="2" t="s">
        <v>49</v>
      </c>
      <c r="D14" s="2" t="s">
        <v>50</v>
      </c>
    </row>
    <row r="15" customFormat="false" ht="15" hidden="false" customHeight="false" outlineLevel="0" collapsed="false">
      <c r="A15" s="2" t="s">
        <v>51</v>
      </c>
      <c r="B15" s="2" t="s">
        <v>52</v>
      </c>
      <c r="C15" s="2" t="s">
        <v>53</v>
      </c>
      <c r="D15" s="2" t="s">
        <v>54</v>
      </c>
    </row>
    <row r="16" customFormat="false" ht="15" hidden="false" customHeight="false" outlineLevel="0" collapsed="false">
      <c r="A16" s="2" t="s">
        <v>55</v>
      </c>
      <c r="B16" s="2" t="s">
        <v>56</v>
      </c>
      <c r="C16" s="2" t="s">
        <v>57</v>
      </c>
      <c r="D16" s="2"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4" min="3" style="0" width="18"/>
    <col collapsed="false" customWidth="true" hidden="false" outlineLevel="0" max="5" min="5" style="0" width="16"/>
  </cols>
  <sheetData>
    <row r="1" customFormat="false" ht="15" hidden="false" customHeight="false" outlineLevel="0" collapsed="false">
      <c r="A1" s="1" t="s">
        <v>59</v>
      </c>
      <c r="B1" s="1" t="s">
        <v>60</v>
      </c>
      <c r="C1" s="1" t="s">
        <v>61</v>
      </c>
      <c r="D1" s="1" t="s">
        <v>62</v>
      </c>
      <c r="E1" s="1" t="s">
        <v>63</v>
      </c>
    </row>
    <row r="2" customFormat="false" ht="15" hidden="false" customHeight="false" outlineLevel="0" collapsed="false">
      <c r="A2" s="2" t="s">
        <v>4</v>
      </c>
      <c r="B2" s="3" t="str">
        <f aca="false">TRIM(PROPER(A2))</f>
        <v>Priya Sharma</v>
      </c>
      <c r="C2" s="3" t="str">
        <f aca="false">TRIM(LEFT('Customers (Raw)'!C2,FIND(",",'Customers (Raw)'!C2)-1))</f>
        <v>Hyderabad</v>
      </c>
      <c r="D2" s="3" t="str">
        <f aca="false">TRIM(MID('Customers (Raw)'!C2,FIND(",",'Customers (Raw)'!C2)+1,50))</f>
        <v>Telangana</v>
      </c>
      <c r="E2" s="3" t="str">
        <f aca="false">SUBSTITUTE(SUBSTITUTE('Customers (Raw)'!D2,"-",""),  " ","")</f>
        <v>9876543210</v>
      </c>
    </row>
    <row r="3" customFormat="false" ht="15" hidden="false" customHeight="false" outlineLevel="0" collapsed="false">
      <c r="A3" s="2" t="s">
        <v>8</v>
      </c>
      <c r="B3" s="4"/>
      <c r="C3" s="4"/>
      <c r="D3" s="4"/>
      <c r="E3" s="4"/>
    </row>
    <row r="4" customFormat="false" ht="15" hidden="false" customHeight="false" outlineLevel="0" collapsed="false">
      <c r="A4" s="2" t="s">
        <v>12</v>
      </c>
      <c r="B4" s="4"/>
      <c r="C4" s="4"/>
      <c r="D4" s="4"/>
      <c r="E4" s="4"/>
    </row>
    <row r="5" customFormat="false" ht="15" hidden="false" customHeight="false" outlineLevel="0" collapsed="false">
      <c r="A5" s="2" t="s">
        <v>16</v>
      </c>
      <c r="B5" s="4"/>
      <c r="C5" s="4"/>
      <c r="D5" s="4"/>
      <c r="E5" s="4"/>
    </row>
    <row r="6" customFormat="false" ht="15" hidden="false" customHeight="false" outlineLevel="0" collapsed="false">
      <c r="A6" s="2" t="s">
        <v>19</v>
      </c>
      <c r="B6" s="4"/>
      <c r="C6" s="4"/>
      <c r="D6" s="4"/>
      <c r="E6" s="4"/>
    </row>
    <row r="7" customFormat="false" ht="15" hidden="false" customHeight="false" outlineLevel="0" collapsed="false">
      <c r="A7" s="2" t="s">
        <v>23</v>
      </c>
      <c r="B7" s="4"/>
      <c r="C7" s="4"/>
      <c r="D7" s="4"/>
      <c r="E7" s="4"/>
    </row>
    <row r="8" customFormat="false" ht="15" hidden="false" customHeight="false" outlineLevel="0" collapsed="false">
      <c r="A8" s="2" t="s">
        <v>24</v>
      </c>
      <c r="B8" s="4"/>
      <c r="C8" s="4"/>
      <c r="D8" s="4"/>
      <c r="E8" s="4"/>
    </row>
    <row r="9" customFormat="false" ht="15" hidden="false" customHeight="false" outlineLevel="0" collapsed="false">
      <c r="A9" s="2" t="s">
        <v>28</v>
      </c>
      <c r="B9" s="4"/>
      <c r="C9" s="4"/>
      <c r="D9" s="4"/>
      <c r="E9" s="4"/>
    </row>
    <row r="10" customFormat="false" ht="15" hidden="false" customHeight="false" outlineLevel="0" collapsed="false">
      <c r="A10" s="2" t="s">
        <v>32</v>
      </c>
      <c r="B10" s="4"/>
      <c r="C10" s="4"/>
      <c r="D10" s="4"/>
      <c r="E10" s="4"/>
    </row>
    <row r="11" customFormat="false" ht="15" hidden="false" customHeight="false" outlineLevel="0" collapsed="false">
      <c r="A11" s="2" t="s">
        <v>36</v>
      </c>
      <c r="B11" s="4"/>
      <c r="C11" s="4"/>
      <c r="D11" s="4"/>
      <c r="E11" s="4"/>
    </row>
    <row r="12" customFormat="false" ht="15" hidden="false" customHeight="false" outlineLevel="0" collapsed="false">
      <c r="A12" s="2" t="s">
        <v>40</v>
      </c>
      <c r="B12" s="4"/>
      <c r="C12" s="4"/>
      <c r="D12" s="4"/>
      <c r="E12" s="4"/>
    </row>
    <row r="13" customFormat="false" ht="15" hidden="false" customHeight="false" outlineLevel="0" collapsed="false">
      <c r="A13" s="2" t="s">
        <v>43</v>
      </c>
      <c r="B13" s="4"/>
      <c r="C13" s="4"/>
      <c r="D13" s="4"/>
      <c r="E13" s="4"/>
    </row>
    <row r="14" customFormat="false" ht="15" hidden="false" customHeight="false" outlineLevel="0" collapsed="false">
      <c r="A14" s="2" t="s">
        <v>47</v>
      </c>
      <c r="B14" s="4"/>
      <c r="C14" s="4"/>
      <c r="D14" s="4"/>
      <c r="E14" s="4"/>
    </row>
    <row r="15" customFormat="false" ht="15" hidden="false" customHeight="false" outlineLevel="0" collapsed="false">
      <c r="A15" s="2" t="s">
        <v>51</v>
      </c>
      <c r="B15" s="4"/>
      <c r="C15" s="4"/>
      <c r="D15" s="4"/>
      <c r="E15" s="4"/>
    </row>
    <row r="16" customFormat="false" ht="15" hidden="false" customHeight="false" outlineLevel="0" collapsed="false">
      <c r="A16" s="2" t="s">
        <v>55</v>
      </c>
      <c r="B16" s="4"/>
      <c r="C16" s="4"/>
      <c r="D16" s="4"/>
      <c r="E1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4"/>
    <col collapsed="false" customWidth="true" hidden="false" outlineLevel="0" max="4" min="4" style="0" width="12"/>
  </cols>
  <sheetData>
    <row r="1" customFormat="false" ht="15" hidden="false" customHeight="false" outlineLevel="0" collapsed="false">
      <c r="A1" s="1" t="s">
        <v>64</v>
      </c>
      <c r="B1" s="1" t="s">
        <v>65</v>
      </c>
      <c r="C1" s="1" t="s">
        <v>66</v>
      </c>
      <c r="D1" s="1" t="s">
        <v>67</v>
      </c>
    </row>
    <row r="2" customFormat="false" ht="15" hidden="false" customHeight="false" outlineLevel="0" collapsed="false">
      <c r="A2" s="2" t="s">
        <v>68</v>
      </c>
      <c r="B2" s="2" t="s">
        <v>69</v>
      </c>
      <c r="C2" s="2" t="s">
        <v>70</v>
      </c>
      <c r="D2" s="5" t="n">
        <v>3.5</v>
      </c>
    </row>
    <row r="3" customFormat="false" ht="15" hidden="false" customHeight="false" outlineLevel="0" collapsed="false">
      <c r="A3" s="2" t="s">
        <v>71</v>
      </c>
      <c r="B3" s="2" t="s">
        <v>72</v>
      </c>
      <c r="C3" s="2" t="s">
        <v>70</v>
      </c>
      <c r="D3" s="5" t="n">
        <v>4.25</v>
      </c>
    </row>
    <row r="4" customFormat="false" ht="15" hidden="false" customHeight="false" outlineLevel="0" collapsed="false">
      <c r="A4" s="2" t="s">
        <v>73</v>
      </c>
      <c r="B4" s="2" t="s">
        <v>74</v>
      </c>
      <c r="C4" s="2" t="s">
        <v>70</v>
      </c>
      <c r="D4" s="5" t="n">
        <v>8</v>
      </c>
    </row>
    <row r="5" customFormat="false" ht="15" hidden="false" customHeight="false" outlineLevel="0" collapsed="false">
      <c r="A5" s="2" t="s">
        <v>75</v>
      </c>
      <c r="B5" s="2" t="s">
        <v>76</v>
      </c>
      <c r="C5" s="2" t="s">
        <v>70</v>
      </c>
      <c r="D5" s="5" t="n">
        <v>5.5</v>
      </c>
    </row>
    <row r="6" customFormat="false" ht="15" hidden="false" customHeight="false" outlineLevel="0" collapsed="false">
      <c r="A6" s="2" t="s">
        <v>77</v>
      </c>
      <c r="B6" s="2" t="s">
        <v>78</v>
      </c>
      <c r="C6" s="2" t="s">
        <v>79</v>
      </c>
      <c r="D6" s="5" t="n">
        <v>22</v>
      </c>
    </row>
    <row r="7" customFormat="false" ht="15" hidden="false" customHeight="false" outlineLevel="0" collapsed="false">
      <c r="A7" s="2" t="s">
        <v>80</v>
      </c>
      <c r="B7" s="2" t="s">
        <v>81</v>
      </c>
      <c r="C7" s="2" t="s">
        <v>79</v>
      </c>
      <c r="D7" s="5" t="n">
        <v>28.5</v>
      </c>
    </row>
    <row r="8" customFormat="false" ht="15" hidden="false" customHeight="false" outlineLevel="0" collapsed="false">
      <c r="A8" s="2" t="s">
        <v>82</v>
      </c>
      <c r="B8" s="2" t="s">
        <v>83</v>
      </c>
      <c r="C8" s="2" t="s">
        <v>79</v>
      </c>
      <c r="D8" s="5" t="n">
        <v>15</v>
      </c>
    </row>
    <row r="9" customFormat="false" ht="15" hidden="false" customHeight="false" outlineLevel="0" collapsed="false">
      <c r="A9" s="2" t="s">
        <v>84</v>
      </c>
      <c r="B9" s="2" t="s">
        <v>85</v>
      </c>
      <c r="C9" s="2" t="s">
        <v>86</v>
      </c>
      <c r="D9" s="5" t="n">
        <v>6</v>
      </c>
    </row>
    <row r="10" customFormat="false" ht="15" hidden="false" customHeight="false" outlineLevel="0" collapsed="false">
      <c r="A10" s="2" t="s">
        <v>87</v>
      </c>
      <c r="B10" s="2" t="s">
        <v>88</v>
      </c>
      <c r="C10" s="2" t="s">
        <v>86</v>
      </c>
      <c r="D10" s="5" t="n">
        <v>5</v>
      </c>
    </row>
    <row r="11" customFormat="false" ht="15" hidden="false" customHeight="false" outlineLevel="0" collapsed="false">
      <c r="A11" s="2" t="s">
        <v>89</v>
      </c>
      <c r="B11" s="2" t="s">
        <v>90</v>
      </c>
      <c r="C11" s="2" t="s">
        <v>91</v>
      </c>
      <c r="D11" s="5" t="n">
        <v>18</v>
      </c>
    </row>
    <row r="12" customFormat="false" ht="15" hidden="false" customHeight="false" outlineLevel="0" collapsed="false">
      <c r="A12" s="2" t="s">
        <v>92</v>
      </c>
      <c r="B12" s="2" t="s">
        <v>93</v>
      </c>
      <c r="C12" s="2" t="s">
        <v>91</v>
      </c>
      <c r="D12" s="5" t="n">
        <v>12.5</v>
      </c>
    </row>
    <row r="13" customFormat="false" ht="15" hidden="false" customHeight="false" outlineLevel="0" collapsed="false">
      <c r="A13" s="2" t="s">
        <v>94</v>
      </c>
      <c r="B13" s="2" t="s">
        <v>95</v>
      </c>
      <c r="C13" s="2" t="s">
        <v>91</v>
      </c>
      <c r="D13" s="5" t="n">
        <v>14</v>
      </c>
    </row>
    <row r="14" customFormat="false" ht="15" hidden="false" customHeight="false" outlineLevel="0" collapsed="false">
      <c r="A14" s="2" t="s">
        <v>96</v>
      </c>
      <c r="B14" s="2" t="s">
        <v>97</v>
      </c>
      <c r="C14" s="2" t="s">
        <v>70</v>
      </c>
      <c r="D14" s="5" t="n">
        <v>4</v>
      </c>
    </row>
    <row r="15" customFormat="false" ht="15" hidden="false" customHeight="false" outlineLevel="0" collapsed="false">
      <c r="A15" s="2" t="s">
        <v>98</v>
      </c>
      <c r="B15" s="2" t="s">
        <v>99</v>
      </c>
      <c r="C15" s="2" t="s">
        <v>70</v>
      </c>
      <c r="D15" s="5" t="n">
        <v>2.75</v>
      </c>
    </row>
    <row r="16" customFormat="false" ht="15" hidden="false" customHeight="false" outlineLevel="0" collapsed="false">
      <c r="A16" s="2" t="s">
        <v>100</v>
      </c>
      <c r="B16" s="2" t="s">
        <v>101</v>
      </c>
      <c r="C16" s="2" t="s">
        <v>86</v>
      </c>
      <c r="D16" s="5" t="n">
        <v>9.5</v>
      </c>
    </row>
    <row r="17" customFormat="false" ht="15" hidden="false" customHeight="false" outlineLevel="0" collapsed="false">
      <c r="A17" s="2" t="s">
        <v>102</v>
      </c>
      <c r="B17" s="2" t="s">
        <v>103</v>
      </c>
      <c r="C17" s="2" t="s">
        <v>86</v>
      </c>
      <c r="D17" s="5" t="n">
        <v>11</v>
      </c>
    </row>
    <row r="18" customFormat="false" ht="15" hidden="false" customHeight="false" outlineLevel="0" collapsed="false">
      <c r="A18" s="2" t="s">
        <v>104</v>
      </c>
      <c r="B18" s="2" t="s">
        <v>105</v>
      </c>
      <c r="C18" s="2" t="s">
        <v>86</v>
      </c>
      <c r="D18" s="5" t="n">
        <v>13.25</v>
      </c>
    </row>
    <row r="19" customFormat="false" ht="15" hidden="false" customHeight="false" outlineLevel="0" collapsed="false">
      <c r="A19" s="2" t="s">
        <v>106</v>
      </c>
      <c r="B19" s="2" t="s">
        <v>107</v>
      </c>
      <c r="C19" s="2" t="s">
        <v>91</v>
      </c>
      <c r="D19" s="5" t="n">
        <v>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8"/>
    <col collapsed="false" customWidth="true" hidden="false" outlineLevel="0" max="7" min="7" style="0" width="12"/>
  </cols>
  <sheetData>
    <row r="1" customFormat="false" ht="15" hidden="false" customHeight="false" outlineLevel="0" collapsed="false">
      <c r="A1" s="1" t="s">
        <v>108</v>
      </c>
      <c r="B1" s="1" t="s">
        <v>64</v>
      </c>
      <c r="C1" s="1" t="s">
        <v>109</v>
      </c>
      <c r="D1" s="1" t="s">
        <v>110</v>
      </c>
      <c r="E1" s="1" t="s">
        <v>111</v>
      </c>
      <c r="F1" s="1" t="s">
        <v>112</v>
      </c>
      <c r="G1" s="1" t="s">
        <v>113</v>
      </c>
    </row>
    <row r="2" customFormat="false" ht="15" hidden="false" customHeight="false" outlineLevel="0" collapsed="false">
      <c r="A2" s="2" t="s">
        <v>114</v>
      </c>
      <c r="B2" s="2" t="s">
        <v>73</v>
      </c>
      <c r="C2" s="2" t="n">
        <v>12</v>
      </c>
      <c r="D2" s="3" t="str">
        <f aca="false">VLOOKUP(B2,Products!$A$2:$D$19,2,FALSE())</f>
        <v>Gel Pen Set</v>
      </c>
      <c r="E2" s="6" t="e">
        <f aca="false">XLOOKUP(B2,Products!$A$2:$A$19,Products!$D$2:$D$19,"Not Found")</f>
        <v>#NAME?</v>
      </c>
      <c r="F2" s="3" t="str">
        <f aca="false">INDEX(Products!$C$2:$C$19,MATCH(B2,Products!$A$2:$A$19,0))</f>
        <v>Stationery</v>
      </c>
      <c r="G2" s="6" t="e">
        <f aca="false">C2*E2</f>
        <v>#NAME?</v>
      </c>
    </row>
    <row r="3" customFormat="false" ht="15" hidden="false" customHeight="false" outlineLevel="0" collapsed="false">
      <c r="A3" s="2" t="s">
        <v>115</v>
      </c>
      <c r="B3" s="2" t="s">
        <v>84</v>
      </c>
      <c r="C3" s="2" t="n">
        <v>30</v>
      </c>
      <c r="D3" s="4"/>
      <c r="E3" s="7"/>
      <c r="F3" s="4"/>
      <c r="G3" s="7"/>
    </row>
    <row r="4" customFormat="false" ht="15" hidden="false" customHeight="false" outlineLevel="0" collapsed="false">
      <c r="A4" s="2" t="s">
        <v>116</v>
      </c>
      <c r="B4" s="2" t="s">
        <v>92</v>
      </c>
      <c r="C4" s="2" t="n">
        <v>5</v>
      </c>
      <c r="D4" s="4"/>
      <c r="E4" s="7"/>
      <c r="F4" s="4"/>
      <c r="G4" s="7"/>
    </row>
    <row r="5" customFormat="false" ht="15" hidden="false" customHeight="false" outlineLevel="0" collapsed="false">
      <c r="A5" s="2" t="s">
        <v>117</v>
      </c>
      <c r="B5" s="2" t="s">
        <v>77</v>
      </c>
      <c r="C5" s="2" t="n">
        <v>8</v>
      </c>
      <c r="D5" s="4"/>
      <c r="E5" s="7"/>
      <c r="F5" s="4"/>
      <c r="G5" s="7"/>
    </row>
    <row r="6" customFormat="false" ht="15" hidden="false" customHeight="false" outlineLevel="0" collapsed="false">
      <c r="A6" s="2" t="s">
        <v>118</v>
      </c>
      <c r="B6" s="2" t="s">
        <v>119</v>
      </c>
      <c r="C6" s="2" t="n">
        <v>4</v>
      </c>
      <c r="D6" s="4"/>
      <c r="E6" s="7"/>
      <c r="F6" s="4"/>
      <c r="G6" s="7"/>
    </row>
    <row r="7" customFormat="false" ht="15" hidden="false" customHeight="false" outlineLevel="0" collapsed="false">
      <c r="A7" s="2" t="s">
        <v>120</v>
      </c>
      <c r="B7" s="2" t="s">
        <v>98</v>
      </c>
      <c r="C7" s="2" t="n">
        <v>50</v>
      </c>
      <c r="D7" s="4"/>
      <c r="E7" s="7"/>
      <c r="F7" s="4"/>
      <c r="G7" s="7"/>
    </row>
    <row r="8" customFormat="false" ht="15" hidden="false" customHeight="false" outlineLevel="0" collapsed="false">
      <c r="A8" s="2" t="s">
        <v>121</v>
      </c>
      <c r="B8" s="2" t="s">
        <v>89</v>
      </c>
      <c r="C8" s="2" t="n">
        <v>6</v>
      </c>
      <c r="D8" s="4"/>
      <c r="E8" s="7"/>
      <c r="F8" s="4"/>
      <c r="G8" s="7"/>
    </row>
    <row r="9" customFormat="false" ht="15" hidden="false" customHeight="false" outlineLevel="0" collapsed="false">
      <c r="A9" s="2" t="s">
        <v>122</v>
      </c>
      <c r="B9" s="2" t="s">
        <v>71</v>
      </c>
      <c r="C9" s="2" t="n">
        <v>25</v>
      </c>
      <c r="D9" s="4"/>
      <c r="E9" s="7"/>
      <c r="F9" s="4"/>
      <c r="G9" s="7"/>
    </row>
    <row r="10" customFormat="false" ht="15" hidden="false" customHeight="false" outlineLevel="0" collapsed="false">
      <c r="A10" s="2" t="s">
        <v>123</v>
      </c>
      <c r="B10" s="2" t="s">
        <v>102</v>
      </c>
      <c r="C10" s="2" t="n">
        <v>10</v>
      </c>
      <c r="D10" s="4"/>
      <c r="E10" s="7"/>
      <c r="F10" s="4"/>
      <c r="G10" s="7"/>
    </row>
    <row r="11" customFormat="false" ht="15" hidden="false" customHeight="false" outlineLevel="0" collapsed="false">
      <c r="A11" s="2" t="s">
        <v>124</v>
      </c>
      <c r="B11" s="2" t="s">
        <v>80</v>
      </c>
      <c r="C11" s="2" t="n">
        <v>7</v>
      </c>
      <c r="D11" s="4"/>
      <c r="E11" s="7"/>
      <c r="F11" s="4"/>
      <c r="G11" s="7"/>
    </row>
    <row r="12" customFormat="false" ht="15" hidden="false" customHeight="false" outlineLevel="0" collapsed="false">
      <c r="A12" s="2" t="s">
        <v>125</v>
      </c>
      <c r="B12" s="2" t="s">
        <v>94</v>
      </c>
      <c r="C12" s="2" t="n">
        <v>15</v>
      </c>
      <c r="D12" s="4"/>
      <c r="E12" s="7"/>
      <c r="F12" s="4"/>
      <c r="G12" s="7"/>
    </row>
    <row r="13" customFormat="false" ht="15" hidden="false" customHeight="false" outlineLevel="0" collapsed="false">
      <c r="A13" s="2" t="s">
        <v>126</v>
      </c>
      <c r="B13" s="2" t="s">
        <v>68</v>
      </c>
      <c r="C13" s="2" t="n">
        <v>40</v>
      </c>
      <c r="D13" s="4"/>
      <c r="E13" s="7"/>
      <c r="F13" s="4"/>
      <c r="G13" s="7"/>
    </row>
    <row r="14" customFormat="false" ht="15" hidden="false" customHeight="false" outlineLevel="0" collapsed="false">
      <c r="A14" s="2" t="s">
        <v>127</v>
      </c>
      <c r="B14" s="2" t="s">
        <v>104</v>
      </c>
      <c r="C14" s="2" t="n">
        <v>9</v>
      </c>
      <c r="D14" s="4"/>
      <c r="E14" s="7"/>
      <c r="F14" s="4"/>
      <c r="G14" s="7"/>
    </row>
    <row r="15" customFormat="false" ht="15" hidden="false" customHeight="false" outlineLevel="0" collapsed="false">
      <c r="A15" s="2" t="s">
        <v>128</v>
      </c>
      <c r="B15" s="2" t="s">
        <v>87</v>
      </c>
      <c r="C15" s="2" t="n">
        <v>22</v>
      </c>
      <c r="D15" s="4"/>
      <c r="E15" s="7"/>
      <c r="F15" s="4"/>
      <c r="G15" s="7"/>
    </row>
    <row r="16" customFormat="false" ht="15" hidden="false" customHeight="false" outlineLevel="0" collapsed="false">
      <c r="A16" s="2" t="s">
        <v>129</v>
      </c>
      <c r="B16" s="2" t="s">
        <v>106</v>
      </c>
      <c r="C16" s="2" t="n">
        <v>11</v>
      </c>
      <c r="D16" s="4"/>
      <c r="E16" s="7"/>
      <c r="F16" s="4"/>
      <c r="G16" s="7"/>
    </row>
    <row r="17" customFormat="false" ht="15" hidden="false" customHeight="false" outlineLevel="0" collapsed="false">
      <c r="A17" s="2" t="s">
        <v>130</v>
      </c>
      <c r="B17" s="2" t="s">
        <v>82</v>
      </c>
      <c r="C17" s="2" t="n">
        <v>14</v>
      </c>
      <c r="D17" s="4"/>
      <c r="E17" s="7"/>
      <c r="F17" s="4"/>
      <c r="G17" s="7"/>
    </row>
    <row r="18" customFormat="false" ht="15" hidden="false" customHeight="false" outlineLevel="0" collapsed="false">
      <c r="A18" s="2" t="s">
        <v>131</v>
      </c>
      <c r="B18" s="2" t="s">
        <v>96</v>
      </c>
      <c r="C18" s="2" t="n">
        <v>18</v>
      </c>
      <c r="D18" s="4"/>
      <c r="E18" s="7"/>
      <c r="F18" s="4"/>
      <c r="G18" s="7"/>
    </row>
    <row r="19" customFormat="false" ht="15" hidden="false" customHeight="false" outlineLevel="0" collapsed="false">
      <c r="A19" s="2" t="s">
        <v>132</v>
      </c>
      <c r="B19" s="2" t="s">
        <v>100</v>
      </c>
      <c r="C19" s="2" t="n">
        <v>6</v>
      </c>
      <c r="D19" s="4"/>
      <c r="E19" s="7"/>
      <c r="F19" s="4"/>
      <c r="G19" s="7"/>
    </row>
    <row r="20" customFormat="false" ht="15" hidden="false" customHeight="false" outlineLevel="0" collapsed="false">
      <c r="A20" s="2" t="s">
        <v>133</v>
      </c>
      <c r="B20" s="2" t="s">
        <v>75</v>
      </c>
      <c r="C20" s="2" t="n">
        <v>33</v>
      </c>
      <c r="D20" s="4"/>
      <c r="E20" s="7"/>
      <c r="F20" s="4"/>
      <c r="G20" s="7"/>
    </row>
    <row r="21" customFormat="false" ht="15" hidden="false" customHeight="false" outlineLevel="0" collapsed="false">
      <c r="A21" s="2" t="s">
        <v>134</v>
      </c>
      <c r="B21" s="2" t="s">
        <v>73</v>
      </c>
      <c r="C21" s="2" t="n">
        <v>20</v>
      </c>
      <c r="D21" s="4"/>
      <c r="E21" s="7"/>
      <c r="F21" s="4"/>
      <c r="G21" s="7"/>
    </row>
    <row r="22" customFormat="false" ht="15" hidden="false" customHeight="false" outlineLevel="0" collapsed="false">
      <c r="A22" s="8" t="s">
        <v>135</v>
      </c>
      <c r="G2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2026-09-09T09:05:39Z</dcterms:created>
  <dc:creator>openpyxl</dc:creator>
  <dc:description/>
  <dc:language>en-US</dc:language>
  <cp:lastModifiedBy/>
  <dcterms:modified xsi:type="dcterms:W3CDTF">2026-09-09T09:05:39Z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